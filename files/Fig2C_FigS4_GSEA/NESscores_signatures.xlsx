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sthma-Lympho\Anneloes\05_Collaborations\11_Anne\TDLNmel\Signatures-for-GSEA\"/>
    </mc:Choice>
  </mc:AlternateContent>
  <xr:revisionPtr revIDLastSave="0" documentId="13_ncr:1_{2B6457C0-18B4-4763-9102-B3ABDBB3F27C}" xr6:coauthVersionLast="47" xr6:coauthVersionMax="47" xr10:uidLastSave="{00000000-0000-0000-0000-000000000000}"/>
  <bookViews>
    <workbookView xWindow="28680" yWindow="-120" windowWidth="29040" windowHeight="15720" xr2:uid="{B66B339B-BF6A-4F79-B523-921722F7F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F72" i="1"/>
</calcChain>
</file>

<file path=xl/sharedStrings.xml><?xml version="1.0" encoding="utf-8"?>
<sst xmlns="http://schemas.openxmlformats.org/spreadsheetml/2006/main" count="593" uniqueCount="143">
  <si>
    <t>C3_CCR7</t>
  </si>
  <si>
    <t>C2_CLEC10A</t>
  </si>
  <si>
    <t>C1_CLEC9A</t>
  </si>
  <si>
    <t>C5_CD207</t>
  </si>
  <si>
    <t>C4_LILRA4</t>
  </si>
  <si>
    <t>Lambrecht</t>
  </si>
  <si>
    <t>DC</t>
  </si>
  <si>
    <t>cDC2</t>
  </si>
  <si>
    <t>cDC1</t>
  </si>
  <si>
    <t>P</t>
  </si>
  <si>
    <t>adj.P</t>
  </si>
  <si>
    <t>NES</t>
  </si>
  <si>
    <t>C06_cDC2_CXCL9</t>
  </si>
  <si>
    <t>C03_cDC2_IL1B</t>
  </si>
  <si>
    <t>C01_cDC2_CXCR4hi</t>
  </si>
  <si>
    <t>cDC2.specific</t>
  </si>
  <si>
    <t>C02_cDC2_CD1A</t>
  </si>
  <si>
    <t>C05_cDC2_ISG15</t>
  </si>
  <si>
    <t>C04_cDC2_FCN1</t>
  </si>
  <si>
    <t>cDC1.specific</t>
  </si>
  <si>
    <t>2021-Cell-PanCancer-Atlas_DC-signatures</t>
  </si>
  <si>
    <t>Mature cDC2</t>
  </si>
  <si>
    <t>AS DC</t>
  </si>
  <si>
    <t>human mregDC genes</t>
  </si>
  <si>
    <t>human DC2 genes</t>
  </si>
  <si>
    <t>human DC1 genes</t>
  </si>
  <si>
    <t>2020-Nature-Merad_DC-signatures</t>
  </si>
  <si>
    <t>Nat-Cardio-2023_DC-signatures</t>
  </si>
  <si>
    <t>MO</t>
  </si>
  <si>
    <t>3CA_macrophage-signatures</t>
  </si>
  <si>
    <t>Stress.HSP</t>
  </si>
  <si>
    <t>Unfolded.protein.response</t>
  </si>
  <si>
    <t>Monocyte.Secreted</t>
  </si>
  <si>
    <t>MES.Glycolysis</t>
  </si>
  <si>
    <t>Proteasomal.degradation</t>
  </si>
  <si>
    <t>Interferon</t>
  </si>
  <si>
    <t>Lipid.associated</t>
  </si>
  <si>
    <t>Cell.cycle</t>
  </si>
  <si>
    <t>MYC.Mitochondria</t>
  </si>
  <si>
    <t>MAC2</t>
  </si>
  <si>
    <t>MAC1</t>
  </si>
  <si>
    <t>MAC3</t>
  </si>
  <si>
    <t>Respiration</t>
  </si>
  <si>
    <t>Nat-Cardio-2023_Mph-signatures</t>
  </si>
  <si>
    <t>Cluster.ID</t>
  </si>
  <si>
    <t>Celltype</t>
  </si>
  <si>
    <t>Signature</t>
  </si>
  <si>
    <t>TREM2hi</t>
  </si>
  <si>
    <t>S100A8/IL1B-</t>
  </si>
  <si>
    <t>S100A8/IL1B+</t>
  </si>
  <si>
    <t>HMOX1</t>
  </si>
  <si>
    <t>IL10+/TNFAIP3+</t>
  </si>
  <si>
    <t>PLIN2hi/TREM1hi</t>
  </si>
  <si>
    <t>C1Q</t>
  </si>
  <si>
    <t>IFN resp.</t>
  </si>
  <si>
    <t>Schultz-Immunity-2014_49-modules</t>
  </si>
  <si>
    <t>cl8_M1</t>
  </si>
  <si>
    <t>cl15_M2</t>
  </si>
  <si>
    <t>cl32_TTP</t>
  </si>
  <si>
    <t>cl9_M1</t>
  </si>
  <si>
    <t>cl30_TTP</t>
  </si>
  <si>
    <t>cl33_TTP</t>
  </si>
  <si>
    <t>cl13_M2</t>
  </si>
  <si>
    <t>cl14_M2</t>
  </si>
  <si>
    <t>Cl7_M1</t>
  </si>
  <si>
    <t>CD8</t>
  </si>
  <si>
    <t>3CA_CD8-signatures</t>
  </si>
  <si>
    <t>Memory.Naive1</t>
  </si>
  <si>
    <t>Cytotoxic</t>
  </si>
  <si>
    <t>Dysfunction</t>
  </si>
  <si>
    <t>Unassigned2</t>
  </si>
  <si>
    <t>Heat_shock</t>
  </si>
  <si>
    <t>Glycolysis.MYC</t>
  </si>
  <si>
    <t>Naive2</t>
  </si>
  <si>
    <t>Cell_cycle</t>
  </si>
  <si>
    <t>Chromatin</t>
  </si>
  <si>
    <t>Naive3</t>
  </si>
  <si>
    <t>Unassigned1</t>
  </si>
  <si>
    <t>CD8.c10(ZNF683+CXCR6+ Trm)</t>
  </si>
  <si>
    <t>CD8.c06(GZMK+ Tem)</t>
  </si>
  <si>
    <t>CD8.c11(GZMK+ Tex)</t>
  </si>
  <si>
    <t>CD8.c01(Tn)</t>
  </si>
  <si>
    <t>CD8.c09(KIR+TXK+ NK-like)</t>
  </si>
  <si>
    <t>CD8.c02(IL7R+ Tm)</t>
  </si>
  <si>
    <t>CD8.c05(GZMK+ early Tem)</t>
  </si>
  <si>
    <t>CD8.c15(ISG+ CD8+ T)</t>
  </si>
  <si>
    <t>CD8.c13(OXPHOS- Tex)</t>
  </si>
  <si>
    <t>CD8.c04(ZNF683+CXCR6- Tm)</t>
  </si>
  <si>
    <t>CD8.c14(TCF7+ Tex)</t>
  </si>
  <si>
    <t>CD8.c08(KIR+EOMES+ NK-like)</t>
  </si>
  <si>
    <t>CD8.c16(Tc17)</t>
  </si>
  <si>
    <t>CD8.c07(Temra)</t>
  </si>
  <si>
    <t>Pan-cancer-TIL-atlas-Science_CD8-signatures</t>
  </si>
  <si>
    <t>LAMP3_mReg</t>
  </si>
  <si>
    <t>LAMP3+_DC_signature_ZhangCell2019</t>
  </si>
  <si>
    <t>CD8_Signatures_Nature_Andreatta_2021</t>
  </si>
  <si>
    <t>Tfh</t>
  </si>
  <si>
    <t>CD8_Tpex</t>
  </si>
  <si>
    <t>CD8_EarlyActiv</t>
  </si>
  <si>
    <t>CD8_EffectorMemory</t>
  </si>
  <si>
    <t>CD8_Tex</t>
  </si>
  <si>
    <t>Nat Comm 2024_TAM atlas</t>
  </si>
  <si>
    <t>Tuberculosis</t>
  </si>
  <si>
    <t>Tumour.associated..multiple.cancers.</t>
  </si>
  <si>
    <t>Ankylosing.Spondylitis</t>
  </si>
  <si>
    <t>Atherosclerosis</t>
  </si>
  <si>
    <t>Tumour.associated..endometrial.</t>
  </si>
  <si>
    <t>Ulcerative.colitis</t>
  </si>
  <si>
    <t>COVID.19</t>
  </si>
  <si>
    <t>Crohn.s.disease</t>
  </si>
  <si>
    <t>Bacterial.sepsis</t>
  </si>
  <si>
    <t>Influenza.A</t>
  </si>
  <si>
    <t>Takayasu.s.arteritis</t>
  </si>
  <si>
    <t>Nature-ETS2-Fig3e_signatures</t>
  </si>
  <si>
    <t>Include?</t>
  </si>
  <si>
    <t>No</t>
  </si>
  <si>
    <t>Yes</t>
  </si>
  <si>
    <t>Sig.Select</t>
  </si>
  <si>
    <t>DC_combined</t>
  </si>
  <si>
    <t>8_IFNGMac</t>
  </si>
  <si>
    <t>01_MetM2Mac</t>
  </si>
  <si>
    <t>10_InflamMac</t>
  </si>
  <si>
    <t>16_ECMHomeoMac</t>
  </si>
  <si>
    <t>06_SPP1AREGMac</t>
  </si>
  <si>
    <t>05_StressMac</t>
  </si>
  <si>
    <t>09_AngioMac</t>
  </si>
  <si>
    <t>21_HemeMac</t>
  </si>
  <si>
    <t>18_ECMMac</t>
  </si>
  <si>
    <t>00_AlvMac</t>
  </si>
  <si>
    <t>19_ClassMono</t>
  </si>
  <si>
    <t>04_ICIMac2</t>
  </si>
  <si>
    <t>17_IFNMac3</t>
  </si>
  <si>
    <t>13_CalciumMac</t>
  </si>
  <si>
    <t>11_MetalloMac</t>
  </si>
  <si>
    <t>02_C3Mac</t>
  </si>
  <si>
    <t>20_Tdoub</t>
  </si>
  <si>
    <t>03_ICIMac1</t>
  </si>
  <si>
    <t>14_ProliMac</t>
  </si>
  <si>
    <t>07_IFNMac</t>
  </si>
  <si>
    <t>15_LYZMac</t>
  </si>
  <si>
    <t>22_IFNMac4</t>
  </si>
  <si>
    <t>12_MBMMac</t>
  </si>
  <si>
    <t>CD8.c12(terminal Tex)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</si>
</sst>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AA15-5E4C-4D06-A879-50ECB0A9E367}">
  <dimension ref="A1:T118"/>
  <sheetViews>
    <sheetView tabSelected="1" topLeftCell="A52" workbookViewId="0">
      <selection activeCell="T60" sqref="T60"/>
    </sheetView>
  </sheetViews>
  <sheetFormatPr defaultRowHeight="15" x14ac:dyDescent="0.25"/>
  <cols>
    <col min="2" max="2" width="49.140625" bestFit="1" customWidth="1"/>
    <col min="4" max="4" width="12.42578125" bestFit="1" customWidth="1"/>
    <col min="5" max="5" width="27.85546875" bestFit="1" customWidth="1"/>
    <col min="7" max="7" width="9.140625" style="3"/>
  </cols>
  <sheetData>
    <row r="1" spans="1:19" x14ac:dyDescent="0.25">
      <c r="A1" s="5" t="s">
        <v>46</v>
      </c>
      <c r="B1" s="5" t="s">
        <v>117</v>
      </c>
      <c r="C1" s="5" t="s">
        <v>45</v>
      </c>
      <c r="D1" s="5" t="s">
        <v>114</v>
      </c>
      <c r="E1" s="5" t="s">
        <v>44</v>
      </c>
      <c r="F1" s="5" t="s">
        <v>9</v>
      </c>
      <c r="G1" s="5" t="s">
        <v>10</v>
      </c>
      <c r="H1" s="5" t="s">
        <v>11</v>
      </c>
    </row>
    <row r="2" spans="1:19" ht="15" customHeight="1" x14ac:dyDescent="0.25">
      <c r="A2" t="s">
        <v>5</v>
      </c>
      <c r="B2" t="s">
        <v>118</v>
      </c>
      <c r="C2" t="s">
        <v>6</v>
      </c>
      <c r="D2" t="s">
        <v>116</v>
      </c>
      <c r="E2" t="s">
        <v>0</v>
      </c>
      <c r="F2">
        <v>1E-10</v>
      </c>
      <c r="G2" s="3">
        <v>5.0000000000000003E-10</v>
      </c>
      <c r="H2">
        <v>-2.5454976406997001</v>
      </c>
    </row>
    <row r="3" spans="1:19" x14ac:dyDescent="0.25">
      <c r="A3" t="s">
        <v>5</v>
      </c>
      <c r="B3" t="s">
        <v>118</v>
      </c>
      <c r="C3" t="s">
        <v>6</v>
      </c>
      <c r="D3" t="s">
        <v>116</v>
      </c>
      <c r="E3" t="s">
        <v>1</v>
      </c>
      <c r="F3">
        <v>1.21719106934209E-5</v>
      </c>
      <c r="G3" s="3">
        <v>3.04297767335521E-5</v>
      </c>
      <c r="H3">
        <v>2.2258874076200401</v>
      </c>
    </row>
    <row r="4" spans="1:19" x14ac:dyDescent="0.25">
      <c r="A4" t="s">
        <v>5</v>
      </c>
      <c r="B4" t="s">
        <v>118</v>
      </c>
      <c r="C4" t="s">
        <v>6</v>
      </c>
      <c r="D4" t="s">
        <v>116</v>
      </c>
      <c r="E4" t="s">
        <v>2</v>
      </c>
      <c r="F4">
        <v>2.0464594363970499E-2</v>
      </c>
      <c r="G4" s="3">
        <v>3.41076572732842E-2</v>
      </c>
      <c r="H4">
        <v>1.5037614753128099</v>
      </c>
    </row>
    <row r="5" spans="1:19" x14ac:dyDescent="0.25">
      <c r="A5" t="s">
        <v>5</v>
      </c>
      <c r="B5" t="s">
        <v>118</v>
      </c>
      <c r="C5" t="s">
        <v>6</v>
      </c>
      <c r="D5" t="s">
        <v>116</v>
      </c>
      <c r="E5" t="s">
        <v>3</v>
      </c>
      <c r="F5">
        <v>0.31680000000000003</v>
      </c>
      <c r="G5" s="3">
        <v>0.39600000000000002</v>
      </c>
      <c r="H5">
        <v>-1.1153382329214601</v>
      </c>
    </row>
    <row r="6" spans="1:19" x14ac:dyDescent="0.25">
      <c r="A6" t="s">
        <v>5</v>
      </c>
      <c r="B6" t="s">
        <v>118</v>
      </c>
      <c r="C6" t="s">
        <v>6</v>
      </c>
      <c r="D6" t="s">
        <v>116</v>
      </c>
      <c r="E6" t="s">
        <v>4</v>
      </c>
      <c r="F6">
        <v>0.55555555555555602</v>
      </c>
      <c r="G6" s="3">
        <v>0.55555555555555602</v>
      </c>
      <c r="H6">
        <v>0.94712725969627998</v>
      </c>
    </row>
    <row r="7" spans="1:19" ht="15" customHeight="1" x14ac:dyDescent="0.25">
      <c r="A7" t="s">
        <v>20</v>
      </c>
      <c r="B7" t="s">
        <v>118</v>
      </c>
      <c r="C7" t="s">
        <v>6</v>
      </c>
      <c r="D7" t="s">
        <v>116</v>
      </c>
      <c r="E7" t="s">
        <v>12</v>
      </c>
      <c r="F7" s="1">
        <v>4.2918606866438597E-6</v>
      </c>
      <c r="G7" s="4">
        <v>3.4334885493150898E-5</v>
      </c>
      <c r="H7">
        <v>-2.01381771364552</v>
      </c>
    </row>
    <row r="8" spans="1:19" x14ac:dyDescent="0.25">
      <c r="A8" t="s">
        <v>20</v>
      </c>
      <c r="B8" t="s">
        <v>118</v>
      </c>
      <c r="C8" t="s">
        <v>6</v>
      </c>
      <c r="D8" t="s">
        <v>116</v>
      </c>
      <c r="E8" t="s">
        <v>13</v>
      </c>
      <c r="F8" s="1">
        <v>1.0498384349470301E-5</v>
      </c>
      <c r="G8" s="4">
        <v>4.1993537397881399E-5</v>
      </c>
      <c r="H8">
        <v>-1.9923692934903401</v>
      </c>
    </row>
    <row r="9" spans="1:19" x14ac:dyDescent="0.25">
      <c r="A9" t="s">
        <v>20</v>
      </c>
      <c r="B9" t="s">
        <v>118</v>
      </c>
      <c r="C9" t="s">
        <v>6</v>
      </c>
      <c r="D9" t="s">
        <v>116</v>
      </c>
      <c r="E9" t="s">
        <v>14</v>
      </c>
      <c r="F9">
        <v>5.6738581501609205E-4</v>
      </c>
      <c r="G9" s="3">
        <v>1.51302884004291E-3</v>
      </c>
      <c r="H9">
        <v>1.74080788444097</v>
      </c>
    </row>
    <row r="10" spans="1:19" x14ac:dyDescent="0.25">
      <c r="A10" t="s">
        <v>20</v>
      </c>
      <c r="B10" t="s">
        <v>118</v>
      </c>
      <c r="C10" t="s">
        <v>6</v>
      </c>
      <c r="D10" t="s">
        <v>116</v>
      </c>
      <c r="E10" t="s">
        <v>15</v>
      </c>
      <c r="F10">
        <v>3.2231912062901498E-2</v>
      </c>
      <c r="G10" s="3">
        <v>5.8179449749909899E-2</v>
      </c>
      <c r="H10">
        <v>-1.4596614184674599</v>
      </c>
      <c r="R10" s="1"/>
      <c r="S10" s="1"/>
    </row>
    <row r="11" spans="1:19" x14ac:dyDescent="0.25">
      <c r="A11" t="s">
        <v>20</v>
      </c>
      <c r="B11" t="s">
        <v>118</v>
      </c>
      <c r="C11" t="s">
        <v>6</v>
      </c>
      <c r="D11" t="s">
        <v>116</v>
      </c>
      <c r="E11" t="s">
        <v>16</v>
      </c>
      <c r="F11">
        <v>4.3634587312432402E-2</v>
      </c>
      <c r="G11" s="3">
        <v>5.8179449749909899E-2</v>
      </c>
      <c r="H11">
        <v>-1.42118908098008</v>
      </c>
      <c r="R11" s="1"/>
      <c r="S11" s="1"/>
    </row>
    <row r="12" spans="1:19" x14ac:dyDescent="0.25">
      <c r="A12" t="s">
        <v>20</v>
      </c>
      <c r="B12" t="s">
        <v>118</v>
      </c>
      <c r="C12" t="s">
        <v>6</v>
      </c>
      <c r="D12" t="s">
        <v>116</v>
      </c>
      <c r="E12" t="s">
        <v>17</v>
      </c>
      <c r="F12">
        <v>3.65853658536585E-2</v>
      </c>
      <c r="G12" s="3">
        <v>5.8179449749909899E-2</v>
      </c>
      <c r="H12">
        <v>-1.4123824460994401</v>
      </c>
      <c r="R12" s="1"/>
      <c r="S12" s="1"/>
    </row>
    <row r="13" spans="1:19" x14ac:dyDescent="0.25">
      <c r="A13" t="s">
        <v>20</v>
      </c>
      <c r="B13" t="s">
        <v>118</v>
      </c>
      <c r="C13" t="s">
        <v>6</v>
      </c>
      <c r="D13" t="s">
        <v>116</v>
      </c>
      <c r="E13" t="s">
        <v>18</v>
      </c>
      <c r="F13">
        <v>5.7907632593548398E-2</v>
      </c>
      <c r="G13" s="3">
        <v>6.61801515354839E-2</v>
      </c>
      <c r="H13">
        <v>1.3464777206817899</v>
      </c>
      <c r="R13" s="1"/>
      <c r="S13" s="1"/>
    </row>
    <row r="14" spans="1:19" x14ac:dyDescent="0.25">
      <c r="A14" t="s">
        <v>20</v>
      </c>
      <c r="B14" t="s">
        <v>118</v>
      </c>
      <c r="C14" t="s">
        <v>6</v>
      </c>
      <c r="D14" t="s">
        <v>116</v>
      </c>
      <c r="E14" t="s">
        <v>19</v>
      </c>
      <c r="F14">
        <v>8.2880434782608703E-2</v>
      </c>
      <c r="G14" s="3">
        <v>8.2880434782608703E-2</v>
      </c>
      <c r="H14">
        <v>-1.3082766569365001</v>
      </c>
      <c r="R14" s="1"/>
      <c r="S14" s="1"/>
    </row>
    <row r="15" spans="1:19" ht="15" customHeight="1" x14ac:dyDescent="0.25">
      <c r="A15" t="s">
        <v>27</v>
      </c>
      <c r="B15" t="s">
        <v>27</v>
      </c>
      <c r="C15" t="s">
        <v>6</v>
      </c>
      <c r="D15" t="s">
        <v>116</v>
      </c>
      <c r="E15" t="s">
        <v>21</v>
      </c>
      <c r="F15" s="1">
        <v>1.0440161617224099E-7</v>
      </c>
      <c r="G15" s="4">
        <v>4.1760646468896202E-7</v>
      </c>
      <c r="H15">
        <v>-1.6091642330434499</v>
      </c>
      <c r="R15" s="1"/>
      <c r="S15" s="1"/>
    </row>
    <row r="16" spans="1:19" x14ac:dyDescent="0.25">
      <c r="A16" t="s">
        <v>27</v>
      </c>
      <c r="B16" t="s">
        <v>27</v>
      </c>
      <c r="C16" t="s">
        <v>6</v>
      </c>
      <c r="D16" t="s">
        <v>116</v>
      </c>
      <c r="E16" t="s">
        <v>7</v>
      </c>
      <c r="F16">
        <v>1.01768419156671E-2</v>
      </c>
      <c r="G16" s="3">
        <v>2.0353683831334301E-2</v>
      </c>
      <c r="H16">
        <v>-1.3403310802046999</v>
      </c>
      <c r="R16" s="1"/>
      <c r="S16" s="1"/>
    </row>
    <row r="17" spans="1:20" x14ac:dyDescent="0.25">
      <c r="A17" t="s">
        <v>27</v>
      </c>
      <c r="B17" t="s">
        <v>27</v>
      </c>
      <c r="C17" t="s">
        <v>6</v>
      </c>
      <c r="D17" t="s">
        <v>116</v>
      </c>
      <c r="E17" t="s">
        <v>8</v>
      </c>
      <c r="F17">
        <v>1.7103453799743901E-2</v>
      </c>
      <c r="G17" s="3">
        <v>2.2804605066325302E-2</v>
      </c>
      <c r="H17">
        <v>-1.2345428220375201</v>
      </c>
      <c r="R17" s="1"/>
      <c r="S17" s="1"/>
    </row>
    <row r="18" spans="1:20" x14ac:dyDescent="0.25">
      <c r="A18" t="s">
        <v>27</v>
      </c>
      <c r="B18" t="s">
        <v>27</v>
      </c>
      <c r="C18" t="s">
        <v>6</v>
      </c>
      <c r="D18" t="s">
        <v>116</v>
      </c>
      <c r="E18" t="s">
        <v>22</v>
      </c>
      <c r="F18">
        <v>3.58649789029536E-2</v>
      </c>
      <c r="G18" s="3">
        <v>3.58649789029536E-2</v>
      </c>
      <c r="H18">
        <v>-1.1902632144682399</v>
      </c>
    </row>
    <row r="19" spans="1:20" ht="15" customHeight="1" x14ac:dyDescent="0.25">
      <c r="A19" t="s">
        <v>26</v>
      </c>
      <c r="B19" t="s">
        <v>118</v>
      </c>
      <c r="C19" t="s">
        <v>6</v>
      </c>
      <c r="D19" t="s">
        <v>115</v>
      </c>
      <c r="E19" s="2" t="s">
        <v>23</v>
      </c>
      <c r="F19">
        <v>1E-10</v>
      </c>
      <c r="G19" s="3">
        <v>3E-10</v>
      </c>
      <c r="H19">
        <v>-2.6681138335998198</v>
      </c>
    </row>
    <row r="20" spans="1:20" x14ac:dyDescent="0.25">
      <c r="A20" t="s">
        <v>26</v>
      </c>
      <c r="B20" t="s">
        <v>118</v>
      </c>
      <c r="C20" t="s">
        <v>6</v>
      </c>
      <c r="D20" t="s">
        <v>115</v>
      </c>
      <c r="E20" s="2" t="s">
        <v>24</v>
      </c>
      <c r="F20">
        <v>4.5852363052362802E-3</v>
      </c>
      <c r="G20" s="3">
        <v>6.8778544578544203E-3</v>
      </c>
      <c r="H20">
        <v>1.2803079800828201</v>
      </c>
    </row>
    <row r="21" spans="1:20" x14ac:dyDescent="0.25">
      <c r="A21" t="s">
        <v>26</v>
      </c>
      <c r="B21" t="s">
        <v>118</v>
      </c>
      <c r="C21" t="s">
        <v>6</v>
      </c>
      <c r="D21" t="s">
        <v>115</v>
      </c>
      <c r="E21" t="s">
        <v>25</v>
      </c>
      <c r="F21">
        <v>0.12621359223301001</v>
      </c>
      <c r="G21" s="3">
        <v>0.12621359223301001</v>
      </c>
      <c r="H21">
        <v>1.1598750244226499</v>
      </c>
    </row>
    <row r="22" spans="1:20" ht="15" customHeight="1" x14ac:dyDescent="0.25">
      <c r="A22" t="s">
        <v>29</v>
      </c>
      <c r="B22" t="s">
        <v>29</v>
      </c>
      <c r="C22" t="s">
        <v>28</v>
      </c>
      <c r="D22" t="s">
        <v>115</v>
      </c>
      <c r="E22" t="s">
        <v>30</v>
      </c>
      <c r="F22">
        <v>4.2353068245834899E-9</v>
      </c>
      <c r="G22" s="3">
        <v>5.5058988719585398E-8</v>
      </c>
      <c r="H22">
        <v>-2.4386769274475601</v>
      </c>
    </row>
    <row r="23" spans="1:20" x14ac:dyDescent="0.25">
      <c r="A23" t="s">
        <v>29</v>
      </c>
      <c r="B23" t="s">
        <v>29</v>
      </c>
      <c r="C23" t="s">
        <v>28</v>
      </c>
      <c r="D23" t="s">
        <v>115</v>
      </c>
      <c r="E23" t="s">
        <v>31</v>
      </c>
      <c r="F23">
        <v>3.3763645262976999E-7</v>
      </c>
      <c r="G23" s="3">
        <v>2.1946369420934998E-6</v>
      </c>
      <c r="H23">
        <v>-2.26233780204387</v>
      </c>
    </row>
    <row r="24" spans="1:20" x14ac:dyDescent="0.25">
      <c r="A24" t="s">
        <v>29</v>
      </c>
      <c r="B24" t="s">
        <v>29</v>
      </c>
      <c r="C24" t="s">
        <v>28</v>
      </c>
      <c r="D24" t="s">
        <v>115</v>
      </c>
      <c r="E24" t="s">
        <v>32</v>
      </c>
      <c r="F24">
        <v>5.2504167877840204E-7</v>
      </c>
      <c r="G24" s="3">
        <v>2.27518060803974E-6</v>
      </c>
      <c r="H24">
        <v>-2.2738949289559098</v>
      </c>
    </row>
    <row r="25" spans="1:20" x14ac:dyDescent="0.25">
      <c r="A25" t="s">
        <v>29</v>
      </c>
      <c r="B25" t="s">
        <v>29</v>
      </c>
      <c r="C25" t="s">
        <v>28</v>
      </c>
      <c r="D25" t="s">
        <v>115</v>
      </c>
      <c r="E25" t="s">
        <v>33</v>
      </c>
      <c r="F25">
        <v>4.7409630283398301E-5</v>
      </c>
      <c r="G25" s="3">
        <v>1.4630461497196901E-4</v>
      </c>
      <c r="H25">
        <v>-2.0017076929147399</v>
      </c>
    </row>
    <row r="26" spans="1:20" x14ac:dyDescent="0.25">
      <c r="A26" t="s">
        <v>29</v>
      </c>
      <c r="B26" t="s">
        <v>29</v>
      </c>
      <c r="C26" t="s">
        <v>28</v>
      </c>
      <c r="D26" t="s">
        <v>115</v>
      </c>
      <c r="E26" t="s">
        <v>34</v>
      </c>
      <c r="F26">
        <v>5.6271005758449602E-5</v>
      </c>
      <c r="G26" s="3">
        <v>1.4630461497196901E-4</v>
      </c>
      <c r="H26">
        <v>-1.99514940173922</v>
      </c>
      <c r="S26" s="1"/>
      <c r="T26" s="1"/>
    </row>
    <row r="27" spans="1:20" x14ac:dyDescent="0.25">
      <c r="A27" t="s">
        <v>29</v>
      </c>
      <c r="B27" t="s">
        <v>29</v>
      </c>
      <c r="C27" t="s">
        <v>28</v>
      </c>
      <c r="D27" t="s">
        <v>115</v>
      </c>
      <c r="E27" t="s">
        <v>35</v>
      </c>
      <c r="F27">
        <v>1.3153047165499599E-4</v>
      </c>
      <c r="G27" s="3">
        <v>2.84982688585825E-4</v>
      </c>
      <c r="H27">
        <v>-1.96455565249507</v>
      </c>
    </row>
    <row r="28" spans="1:20" x14ac:dyDescent="0.25">
      <c r="A28" t="s">
        <v>29</v>
      </c>
      <c r="B28" t="s">
        <v>29</v>
      </c>
      <c r="C28" t="s">
        <v>28</v>
      </c>
      <c r="D28" t="s">
        <v>115</v>
      </c>
      <c r="E28" s="2" t="s">
        <v>36</v>
      </c>
      <c r="F28">
        <v>9.0317291535340002E-3</v>
      </c>
      <c r="G28" s="3">
        <v>1.67732112851346E-2</v>
      </c>
      <c r="H28">
        <v>1.6386891569619499</v>
      </c>
    </row>
    <row r="29" spans="1:20" x14ac:dyDescent="0.25">
      <c r="A29" t="s">
        <v>29</v>
      </c>
      <c r="B29" t="s">
        <v>29</v>
      </c>
      <c r="C29" t="s">
        <v>28</v>
      </c>
      <c r="D29" t="s">
        <v>115</v>
      </c>
      <c r="E29" t="s">
        <v>37</v>
      </c>
      <c r="F29">
        <v>1.2007727051839501E-2</v>
      </c>
      <c r="G29" s="3">
        <v>1.9512556459239199E-2</v>
      </c>
      <c r="H29">
        <v>-1.6171776511393401</v>
      </c>
    </row>
    <row r="30" spans="1:20" x14ac:dyDescent="0.25">
      <c r="A30" t="s">
        <v>29</v>
      </c>
      <c r="B30" t="s">
        <v>29</v>
      </c>
      <c r="C30" t="s">
        <v>28</v>
      </c>
      <c r="D30" t="s">
        <v>115</v>
      </c>
      <c r="E30" t="s">
        <v>38</v>
      </c>
      <c r="F30">
        <v>1.9703806734819501E-2</v>
      </c>
      <c r="G30" s="3">
        <v>2.8461054172517101E-2</v>
      </c>
      <c r="H30">
        <v>-1.53713236100863</v>
      </c>
    </row>
    <row r="31" spans="1:20" x14ac:dyDescent="0.25">
      <c r="A31" t="s">
        <v>29</v>
      </c>
      <c r="B31" t="s">
        <v>29</v>
      </c>
      <c r="C31" t="s">
        <v>28</v>
      </c>
      <c r="D31" t="s">
        <v>115</v>
      </c>
      <c r="E31" t="s">
        <v>39</v>
      </c>
      <c r="F31">
        <v>3.9432176656151403E-2</v>
      </c>
      <c r="G31" s="3">
        <v>5.1261829652996797E-2</v>
      </c>
      <c r="H31">
        <v>-1.4895658377488501</v>
      </c>
    </row>
    <row r="32" spans="1:20" x14ac:dyDescent="0.25">
      <c r="A32" t="s">
        <v>29</v>
      </c>
      <c r="B32" t="s">
        <v>29</v>
      </c>
      <c r="C32" t="s">
        <v>28</v>
      </c>
      <c r="D32" t="s">
        <v>115</v>
      </c>
      <c r="E32" t="s">
        <v>40</v>
      </c>
      <c r="F32">
        <v>0.25543478260869601</v>
      </c>
      <c r="G32" s="3">
        <v>0.29518619436875598</v>
      </c>
      <c r="H32">
        <v>1.1385237472532499</v>
      </c>
    </row>
    <row r="33" spans="1:16" x14ac:dyDescent="0.25">
      <c r="A33" t="s">
        <v>29</v>
      </c>
      <c r="B33" t="s">
        <v>29</v>
      </c>
      <c r="C33" t="s">
        <v>28</v>
      </c>
      <c r="D33" t="s">
        <v>115</v>
      </c>
      <c r="E33" t="s">
        <v>41</v>
      </c>
      <c r="F33">
        <v>0.27247956403269802</v>
      </c>
      <c r="G33" s="3">
        <v>0.29518619436875598</v>
      </c>
      <c r="H33">
        <v>1.1261974540745101</v>
      </c>
    </row>
    <row r="34" spans="1:16" x14ac:dyDescent="0.25">
      <c r="A34" t="s">
        <v>29</v>
      </c>
      <c r="B34" t="s">
        <v>29</v>
      </c>
      <c r="C34" t="s">
        <v>28</v>
      </c>
      <c r="D34" t="s">
        <v>115</v>
      </c>
      <c r="E34" t="s">
        <v>42</v>
      </c>
      <c r="F34">
        <v>0.47226624405705198</v>
      </c>
      <c r="G34" s="3">
        <v>0.47226624405705198</v>
      </c>
      <c r="H34">
        <v>-0.99108443049179495</v>
      </c>
    </row>
    <row r="35" spans="1:16" ht="15" customHeight="1" x14ac:dyDescent="0.25">
      <c r="A35" t="s">
        <v>43</v>
      </c>
      <c r="B35" t="s">
        <v>43</v>
      </c>
      <c r="C35" t="s">
        <v>28</v>
      </c>
      <c r="D35" t="s">
        <v>115</v>
      </c>
      <c r="E35" t="s">
        <v>47</v>
      </c>
      <c r="F35">
        <v>1E-10</v>
      </c>
      <c r="G35" s="3">
        <v>2.0000000000000001E-10</v>
      </c>
      <c r="H35">
        <v>-2.1234367307272999</v>
      </c>
    </row>
    <row r="36" spans="1:16" x14ac:dyDescent="0.25">
      <c r="A36" t="s">
        <v>43</v>
      </c>
      <c r="B36" t="s">
        <v>43</v>
      </c>
      <c r="C36" t="s">
        <v>28</v>
      </c>
      <c r="D36" t="s">
        <v>115</v>
      </c>
      <c r="E36" t="s">
        <v>48</v>
      </c>
      <c r="F36">
        <v>1E-10</v>
      </c>
      <c r="G36" s="3">
        <v>2.0000000000000001E-10</v>
      </c>
      <c r="H36">
        <v>-2.0575237259267598</v>
      </c>
    </row>
    <row r="37" spans="1:16" x14ac:dyDescent="0.25">
      <c r="A37" t="s">
        <v>43</v>
      </c>
      <c r="B37" t="s">
        <v>43</v>
      </c>
      <c r="C37" t="s">
        <v>28</v>
      </c>
      <c r="D37" t="s">
        <v>115</v>
      </c>
      <c r="E37" t="s">
        <v>49</v>
      </c>
      <c r="F37">
        <v>1E-10</v>
      </c>
      <c r="G37" s="3">
        <v>2.0000000000000001E-10</v>
      </c>
      <c r="H37">
        <v>-2.03940401385867</v>
      </c>
    </row>
    <row r="38" spans="1:16" x14ac:dyDescent="0.25">
      <c r="A38" t="s">
        <v>43</v>
      </c>
      <c r="B38" t="s">
        <v>43</v>
      </c>
      <c r="C38" t="s">
        <v>28</v>
      </c>
      <c r="D38" t="s">
        <v>115</v>
      </c>
      <c r="E38" t="s">
        <v>50</v>
      </c>
      <c r="F38">
        <v>1E-10</v>
      </c>
      <c r="G38" s="3">
        <v>2.0000000000000001E-10</v>
      </c>
      <c r="H38">
        <v>-2.01383825175669</v>
      </c>
      <c r="O38" s="1"/>
      <c r="P38" s="1"/>
    </row>
    <row r="39" spans="1:16" x14ac:dyDescent="0.25">
      <c r="A39" t="s">
        <v>43</v>
      </c>
      <c r="B39" t="s">
        <v>43</v>
      </c>
      <c r="C39" t="s">
        <v>28</v>
      </c>
      <c r="D39" t="s">
        <v>115</v>
      </c>
      <c r="E39" t="s">
        <v>51</v>
      </c>
      <c r="F39">
        <v>4.7836088332420597E-9</v>
      </c>
      <c r="G39" s="3">
        <v>7.6537741331872896E-9</v>
      </c>
      <c r="H39">
        <v>-2.14944961621066</v>
      </c>
      <c r="O39" s="1"/>
      <c r="P39" s="1"/>
    </row>
    <row r="40" spans="1:16" x14ac:dyDescent="0.25">
      <c r="A40" t="s">
        <v>43</v>
      </c>
      <c r="B40" t="s">
        <v>43</v>
      </c>
      <c r="C40" t="s">
        <v>28</v>
      </c>
      <c r="D40" t="s">
        <v>115</v>
      </c>
      <c r="E40" t="s">
        <v>52</v>
      </c>
      <c r="F40">
        <v>2.0515428192560499E-7</v>
      </c>
      <c r="G40" s="3">
        <v>2.7353904256747398E-7</v>
      </c>
      <c r="H40">
        <v>-1.6770460565852601</v>
      </c>
      <c r="O40" s="1"/>
      <c r="P40" s="1"/>
    </row>
    <row r="41" spans="1:16" x14ac:dyDescent="0.25">
      <c r="A41" t="s">
        <v>43</v>
      </c>
      <c r="B41" t="s">
        <v>43</v>
      </c>
      <c r="C41" t="s">
        <v>28</v>
      </c>
      <c r="D41" t="s">
        <v>115</v>
      </c>
      <c r="E41" t="s">
        <v>53</v>
      </c>
      <c r="F41">
        <v>6.1429675026324197E-6</v>
      </c>
      <c r="G41" s="3">
        <v>7.0205342887227603E-6</v>
      </c>
      <c r="H41">
        <v>-1.55879314226956</v>
      </c>
      <c r="O41" s="1"/>
      <c r="P41" s="1"/>
    </row>
    <row r="42" spans="1:16" x14ac:dyDescent="0.25">
      <c r="A42" t="s">
        <v>43</v>
      </c>
      <c r="B42" t="s">
        <v>43</v>
      </c>
      <c r="C42" t="s">
        <v>28</v>
      </c>
      <c r="D42" t="s">
        <v>115</v>
      </c>
      <c r="E42" t="s">
        <v>54</v>
      </c>
      <c r="F42">
        <v>5.1309716684858798E-5</v>
      </c>
      <c r="G42" s="3">
        <v>5.1309716684858798E-5</v>
      </c>
      <c r="H42">
        <v>-1.6789630807383999</v>
      </c>
      <c r="O42" s="1"/>
      <c r="P42" s="1"/>
    </row>
    <row r="43" spans="1:16" ht="15" customHeight="1" x14ac:dyDescent="0.25">
      <c r="A43" t="s">
        <v>55</v>
      </c>
      <c r="B43" t="s">
        <v>55</v>
      </c>
      <c r="C43" t="s">
        <v>28</v>
      </c>
      <c r="D43" t="s">
        <v>115</v>
      </c>
      <c r="E43" t="s">
        <v>56</v>
      </c>
      <c r="F43">
        <v>1E-10</v>
      </c>
      <c r="G43" s="3">
        <v>8.9999999999999999E-10</v>
      </c>
      <c r="H43">
        <v>-2.5580569068191998</v>
      </c>
      <c r="O43" s="1"/>
      <c r="P43" s="1"/>
    </row>
    <row r="44" spans="1:16" x14ac:dyDescent="0.25">
      <c r="A44" t="s">
        <v>55</v>
      </c>
      <c r="B44" t="s">
        <v>55</v>
      </c>
      <c r="C44" t="s">
        <v>28</v>
      </c>
      <c r="D44" t="s">
        <v>115</v>
      </c>
      <c r="E44" t="s">
        <v>57</v>
      </c>
      <c r="F44">
        <v>1.2829667836066999E-3</v>
      </c>
      <c r="G44" s="3">
        <v>5.7733505262301697E-3</v>
      </c>
      <c r="H44">
        <v>-1.75344417308769</v>
      </c>
      <c r="O44" s="1"/>
    </row>
    <row r="45" spans="1:16" x14ac:dyDescent="0.25">
      <c r="A45" t="s">
        <v>55</v>
      </c>
      <c r="B45" t="s">
        <v>55</v>
      </c>
      <c r="C45" t="s">
        <v>28</v>
      </c>
      <c r="D45" t="s">
        <v>115</v>
      </c>
      <c r="E45" t="s">
        <v>58</v>
      </c>
      <c r="F45">
        <v>9.9280542732375007E-3</v>
      </c>
      <c r="G45" s="3">
        <v>2.9784162819712499E-2</v>
      </c>
      <c r="H45">
        <v>-1.3791797233031899</v>
      </c>
    </row>
    <row r="46" spans="1:16" x14ac:dyDescent="0.25">
      <c r="A46" t="s">
        <v>55</v>
      </c>
      <c r="B46" t="s">
        <v>55</v>
      </c>
      <c r="C46" t="s">
        <v>28</v>
      </c>
      <c r="D46" t="s">
        <v>115</v>
      </c>
      <c r="E46" t="s">
        <v>59</v>
      </c>
      <c r="F46">
        <v>0.20476190476190501</v>
      </c>
      <c r="G46" s="3">
        <v>0.329770992366412</v>
      </c>
      <c r="H46">
        <v>-1.1920136687369001</v>
      </c>
    </row>
    <row r="47" spans="1:16" x14ac:dyDescent="0.25">
      <c r="A47" t="s">
        <v>55</v>
      </c>
      <c r="B47" t="s">
        <v>55</v>
      </c>
      <c r="C47" t="s">
        <v>28</v>
      </c>
      <c r="D47" t="s">
        <v>115</v>
      </c>
      <c r="E47" t="s">
        <v>60</v>
      </c>
      <c r="F47">
        <v>0.174666666666667</v>
      </c>
      <c r="G47" s="3">
        <v>0.329770992366412</v>
      </c>
      <c r="H47">
        <v>-1.1454056326056701</v>
      </c>
    </row>
    <row r="48" spans="1:16" x14ac:dyDescent="0.25">
      <c r="A48" t="s">
        <v>55</v>
      </c>
      <c r="B48" t="s">
        <v>55</v>
      </c>
      <c r="C48" t="s">
        <v>28</v>
      </c>
      <c r="D48" t="s">
        <v>115</v>
      </c>
      <c r="E48" t="s">
        <v>61</v>
      </c>
      <c r="F48">
        <v>0.25648854961832102</v>
      </c>
      <c r="G48" s="3">
        <v>0.329770992366412</v>
      </c>
      <c r="H48">
        <v>-1.1450672093543699</v>
      </c>
    </row>
    <row r="49" spans="1:18" x14ac:dyDescent="0.25">
      <c r="A49" t="s">
        <v>55</v>
      </c>
      <c r="B49" t="s">
        <v>55</v>
      </c>
      <c r="C49" t="s">
        <v>28</v>
      </c>
      <c r="D49" t="s">
        <v>115</v>
      </c>
      <c r="E49" t="s">
        <v>62</v>
      </c>
      <c r="F49">
        <v>0.24484536082474201</v>
      </c>
      <c r="G49" s="3">
        <v>0.329770992366412</v>
      </c>
      <c r="H49">
        <v>-1.08603890905145</v>
      </c>
      <c r="Q49" s="1"/>
      <c r="R49" s="1"/>
    </row>
    <row r="50" spans="1:18" x14ac:dyDescent="0.25">
      <c r="A50" t="s">
        <v>55</v>
      </c>
      <c r="B50" t="s">
        <v>55</v>
      </c>
      <c r="C50" t="s">
        <v>28</v>
      </c>
      <c r="D50" t="s">
        <v>115</v>
      </c>
      <c r="E50" t="s">
        <v>63</v>
      </c>
      <c r="F50">
        <v>0.45800316957210802</v>
      </c>
      <c r="G50" s="3">
        <v>0.51525356576862102</v>
      </c>
      <c r="H50">
        <v>-1.0088716059298399</v>
      </c>
      <c r="Q50" s="1"/>
      <c r="R50" s="1"/>
    </row>
    <row r="51" spans="1:18" x14ac:dyDescent="0.25">
      <c r="A51" t="s">
        <v>55</v>
      </c>
      <c r="B51" t="s">
        <v>55</v>
      </c>
      <c r="C51" t="s">
        <v>28</v>
      </c>
      <c r="D51" t="s">
        <v>115</v>
      </c>
      <c r="E51" t="s">
        <v>64</v>
      </c>
      <c r="F51">
        <v>0.54977029096477803</v>
      </c>
      <c r="G51" s="3">
        <v>0.54977029096477803</v>
      </c>
      <c r="H51">
        <v>-0.95278870860574105</v>
      </c>
      <c r="Q51" s="1"/>
      <c r="R51" s="1"/>
    </row>
    <row r="52" spans="1:18" ht="15" customHeight="1" x14ac:dyDescent="0.25">
      <c r="A52" t="s">
        <v>66</v>
      </c>
      <c r="B52" t="s">
        <v>66</v>
      </c>
      <c r="C52" t="s">
        <v>65</v>
      </c>
      <c r="D52" t="s">
        <v>115</v>
      </c>
      <c r="E52" t="s">
        <v>67</v>
      </c>
      <c r="F52">
        <v>8.05736243988568E-9</v>
      </c>
      <c r="G52" s="3">
        <v>4.6480152678422098E-8</v>
      </c>
      <c r="H52">
        <v>-2.4934317996319399</v>
      </c>
      <c r="Q52" s="1"/>
      <c r="R52" s="1"/>
    </row>
    <row r="53" spans="1:18" x14ac:dyDescent="0.25">
      <c r="A53" t="s">
        <v>66</v>
      </c>
      <c r="B53" t="s">
        <v>66</v>
      </c>
      <c r="C53" t="s">
        <v>65</v>
      </c>
      <c r="D53" t="s">
        <v>115</v>
      </c>
      <c r="E53" t="s">
        <v>68</v>
      </c>
      <c r="F53">
        <v>1.16200381696055E-8</v>
      </c>
      <c r="G53" s="3">
        <v>4.6480152678422098E-8</v>
      </c>
      <c r="H53">
        <v>-2.49317970916267</v>
      </c>
      <c r="Q53" s="1"/>
      <c r="R53" s="1"/>
    </row>
    <row r="54" spans="1:18" x14ac:dyDescent="0.25">
      <c r="A54" t="s">
        <v>66</v>
      </c>
      <c r="B54" t="s">
        <v>66</v>
      </c>
      <c r="C54" t="s">
        <v>65</v>
      </c>
      <c r="D54" t="s">
        <v>115</v>
      </c>
      <c r="E54" t="s">
        <v>69</v>
      </c>
      <c r="F54">
        <v>8.7480522819394296E-9</v>
      </c>
      <c r="G54" s="3">
        <v>4.6480152678422098E-8</v>
      </c>
      <c r="H54">
        <v>-2.4812436714523298</v>
      </c>
      <c r="Q54" s="1"/>
      <c r="R54" s="1"/>
    </row>
    <row r="55" spans="1:18" x14ac:dyDescent="0.25">
      <c r="A55" t="s">
        <v>66</v>
      </c>
      <c r="B55" t="s">
        <v>66</v>
      </c>
      <c r="C55" t="s">
        <v>65</v>
      </c>
      <c r="D55" t="s">
        <v>115</v>
      </c>
      <c r="E55" t="s">
        <v>70</v>
      </c>
      <c r="F55">
        <v>8.0310272995054102E-8</v>
      </c>
      <c r="G55" s="3">
        <v>2.4093081898516198E-7</v>
      </c>
      <c r="H55">
        <v>-2.4015287186969001</v>
      </c>
      <c r="Q55" s="1"/>
      <c r="R55" s="1"/>
    </row>
    <row r="56" spans="1:18" x14ac:dyDescent="0.25">
      <c r="A56" t="s">
        <v>66</v>
      </c>
      <c r="B56" t="s">
        <v>66</v>
      </c>
      <c r="C56" t="s">
        <v>65</v>
      </c>
      <c r="D56" t="s">
        <v>115</v>
      </c>
      <c r="E56" t="s">
        <v>71</v>
      </c>
      <c r="F56">
        <v>2.22201154622365E-7</v>
      </c>
      <c r="G56" s="3">
        <v>5.3328277109367604E-7</v>
      </c>
      <c r="H56">
        <v>-2.3313635432564102</v>
      </c>
      <c r="Q56" s="1"/>
      <c r="R56" s="1"/>
    </row>
    <row r="57" spans="1:18" x14ac:dyDescent="0.25">
      <c r="A57" t="s">
        <v>66</v>
      </c>
      <c r="B57" t="s">
        <v>66</v>
      </c>
      <c r="C57" t="s">
        <v>65</v>
      </c>
      <c r="D57" t="s">
        <v>115</v>
      </c>
      <c r="E57" t="s">
        <v>72</v>
      </c>
      <c r="F57">
        <v>3.4584209735799501E-5</v>
      </c>
      <c r="G57" s="3">
        <v>6.9168419471599002E-5</v>
      </c>
      <c r="H57">
        <v>-2.0568677085606</v>
      </c>
      <c r="Q57" s="1"/>
    </row>
    <row r="58" spans="1:18" x14ac:dyDescent="0.25">
      <c r="A58" t="s">
        <v>66</v>
      </c>
      <c r="B58" t="s">
        <v>66</v>
      </c>
      <c r="C58" t="s">
        <v>65</v>
      </c>
      <c r="D58" t="s">
        <v>115</v>
      </c>
      <c r="E58" t="s">
        <v>73</v>
      </c>
      <c r="F58">
        <v>6.40677557141711E-5</v>
      </c>
      <c r="G58" s="3">
        <v>1.0983043836715E-4</v>
      </c>
      <c r="H58">
        <v>2.03984900401466</v>
      </c>
    </row>
    <row r="59" spans="1:18" x14ac:dyDescent="0.25">
      <c r="A59" t="s">
        <v>66</v>
      </c>
      <c r="B59" t="s">
        <v>66</v>
      </c>
      <c r="C59" t="s">
        <v>65</v>
      </c>
      <c r="D59" t="s">
        <v>115</v>
      </c>
      <c r="E59" t="s">
        <v>74</v>
      </c>
      <c r="F59">
        <v>9.2691684392191397E-3</v>
      </c>
      <c r="G59" s="3">
        <v>1.39037526588287E-2</v>
      </c>
      <c r="H59">
        <v>-1.5853004839140401</v>
      </c>
    </row>
    <row r="60" spans="1:18" x14ac:dyDescent="0.25">
      <c r="A60" t="s">
        <v>66</v>
      </c>
      <c r="B60" t="s">
        <v>66</v>
      </c>
      <c r="C60" t="s">
        <v>65</v>
      </c>
      <c r="D60" t="s">
        <v>115</v>
      </c>
      <c r="E60" t="s">
        <v>35</v>
      </c>
      <c r="F60">
        <v>5.8479532163742701E-2</v>
      </c>
      <c r="G60" s="3">
        <v>7.7972709551656902E-2</v>
      </c>
      <c r="H60">
        <v>1.40439312708071</v>
      </c>
    </row>
    <row r="61" spans="1:18" x14ac:dyDescent="0.25">
      <c r="A61" t="s">
        <v>66</v>
      </c>
      <c r="B61" t="s">
        <v>66</v>
      </c>
      <c r="C61" t="s">
        <v>65</v>
      </c>
      <c r="D61" t="s">
        <v>115</v>
      </c>
      <c r="E61" t="s">
        <v>75</v>
      </c>
      <c r="F61">
        <v>0.124236252545825</v>
      </c>
      <c r="G61" s="3">
        <v>0.14908350305498999</v>
      </c>
      <c r="H61">
        <v>-1.27772211613263</v>
      </c>
    </row>
    <row r="62" spans="1:18" x14ac:dyDescent="0.25">
      <c r="A62" t="s">
        <v>66</v>
      </c>
      <c r="B62" t="s">
        <v>66</v>
      </c>
      <c r="C62" t="s">
        <v>65</v>
      </c>
      <c r="D62" t="s">
        <v>115</v>
      </c>
      <c r="E62" t="s">
        <v>76</v>
      </c>
      <c r="F62">
        <v>0.25730994152046799</v>
      </c>
      <c r="G62" s="3">
        <v>0.28070175438596501</v>
      </c>
      <c r="H62">
        <v>1.1221986853669501</v>
      </c>
    </row>
    <row r="63" spans="1:18" x14ac:dyDescent="0.25">
      <c r="A63" t="s">
        <v>66</v>
      </c>
      <c r="B63" t="s">
        <v>66</v>
      </c>
      <c r="C63" t="s">
        <v>65</v>
      </c>
      <c r="D63" t="s">
        <v>115</v>
      </c>
      <c r="E63" t="s">
        <v>77</v>
      </c>
      <c r="F63">
        <v>0.88548057259713697</v>
      </c>
      <c r="G63" s="3">
        <v>0.88548057259713697</v>
      </c>
      <c r="H63">
        <v>-0.74294740986075902</v>
      </c>
    </row>
    <row r="64" spans="1:18" ht="15" customHeight="1" x14ac:dyDescent="0.25">
      <c r="A64" t="s">
        <v>92</v>
      </c>
      <c r="B64" t="s">
        <v>92</v>
      </c>
      <c r="C64" t="s">
        <v>65</v>
      </c>
      <c r="D64" t="s">
        <v>116</v>
      </c>
      <c r="E64" t="s">
        <v>78</v>
      </c>
      <c r="F64">
        <v>1E-10</v>
      </c>
      <c r="G64" s="3">
        <v>4.6666666666666702E-10</v>
      </c>
      <c r="H64">
        <v>-2.3415995672748</v>
      </c>
    </row>
    <row r="65" spans="1:18" x14ac:dyDescent="0.25">
      <c r="A65" t="s">
        <v>92</v>
      </c>
      <c r="B65" t="s">
        <v>92</v>
      </c>
      <c r="C65" t="s">
        <v>65</v>
      </c>
      <c r="D65" t="s">
        <v>116</v>
      </c>
      <c r="E65" t="s">
        <v>79</v>
      </c>
      <c r="F65">
        <v>1E-10</v>
      </c>
      <c r="G65" s="3">
        <v>4.6666666666666702E-10</v>
      </c>
      <c r="H65">
        <v>-2.28307045867155</v>
      </c>
    </row>
    <row r="66" spans="1:18" x14ac:dyDescent="0.25">
      <c r="A66" t="s">
        <v>92</v>
      </c>
      <c r="B66" t="s">
        <v>92</v>
      </c>
      <c r="C66" t="s">
        <v>65</v>
      </c>
      <c r="D66" t="s">
        <v>116</v>
      </c>
      <c r="E66" t="s">
        <v>80</v>
      </c>
      <c r="F66">
        <v>1E-10</v>
      </c>
      <c r="G66" s="3">
        <v>4.6666666666666702E-10</v>
      </c>
      <c r="H66">
        <v>-2.1313285456635702</v>
      </c>
      <c r="Q66" s="1"/>
      <c r="R66" s="1"/>
    </row>
    <row r="67" spans="1:18" x14ac:dyDescent="0.25">
      <c r="A67" t="s">
        <v>92</v>
      </c>
      <c r="B67" t="s">
        <v>92</v>
      </c>
      <c r="C67" t="s">
        <v>65</v>
      </c>
      <c r="D67" t="s">
        <v>116</v>
      </c>
      <c r="E67" t="s">
        <v>81</v>
      </c>
      <c r="F67">
        <v>1.0988572828206699E-6</v>
      </c>
      <c r="G67" s="3">
        <v>3.8460004898723403E-6</v>
      </c>
      <c r="H67">
        <v>1.7162860677232099</v>
      </c>
    </row>
    <row r="68" spans="1:18" x14ac:dyDescent="0.25">
      <c r="A68" t="s">
        <v>92</v>
      </c>
      <c r="B68" t="s">
        <v>92</v>
      </c>
      <c r="C68" t="s">
        <v>65</v>
      </c>
      <c r="D68" t="s">
        <v>116</v>
      </c>
      <c r="E68" t="s">
        <v>82</v>
      </c>
      <c r="F68">
        <v>2.1621820589853502E-6</v>
      </c>
      <c r="G68" s="3">
        <v>6.0541097651589702E-6</v>
      </c>
      <c r="H68">
        <v>-1.7350684591714101</v>
      </c>
    </row>
    <row r="69" spans="1:18" x14ac:dyDescent="0.25">
      <c r="A69" t="s">
        <v>92</v>
      </c>
      <c r="B69" t="s">
        <v>92</v>
      </c>
      <c r="C69" t="s">
        <v>65</v>
      </c>
      <c r="D69" t="s">
        <v>116</v>
      </c>
      <c r="E69" t="s">
        <v>83</v>
      </c>
      <c r="F69">
        <v>4.2710043722248199E-6</v>
      </c>
      <c r="G69" s="3">
        <v>9.9656768685245697E-6</v>
      </c>
      <c r="H69">
        <v>-2.0407569729049899</v>
      </c>
    </row>
    <row r="70" spans="1:18" x14ac:dyDescent="0.25">
      <c r="A70" t="s">
        <v>92</v>
      </c>
      <c r="B70" t="s">
        <v>92</v>
      </c>
      <c r="C70" t="s">
        <v>65</v>
      </c>
      <c r="D70" t="s">
        <v>116</v>
      </c>
      <c r="E70" t="s">
        <v>84</v>
      </c>
      <c r="F70">
        <v>1.0999602615999299E-5</v>
      </c>
      <c r="G70" s="3">
        <v>2.1999205231998599E-5</v>
      </c>
      <c r="H70">
        <v>-1.95667984691994</v>
      </c>
    </row>
    <row r="71" spans="1:18" x14ac:dyDescent="0.25">
      <c r="A71" t="s">
        <v>92</v>
      </c>
      <c r="B71" t="s">
        <v>92</v>
      </c>
      <c r="C71" t="s">
        <v>65</v>
      </c>
      <c r="D71" t="s">
        <v>116</v>
      </c>
      <c r="E71" t="s">
        <v>85</v>
      </c>
      <c r="F71">
        <v>2.2489866025419299E-5</v>
      </c>
      <c r="G71" s="3">
        <v>3.9357265544483703E-5</v>
      </c>
      <c r="H71">
        <v>-1.63263712125442</v>
      </c>
    </row>
    <row r="72" spans="1:18" x14ac:dyDescent="0.25">
      <c r="A72" t="s">
        <v>92</v>
      </c>
      <c r="B72" t="s">
        <v>92</v>
      </c>
      <c r="C72" t="s">
        <v>65</v>
      </c>
      <c r="D72" t="s">
        <v>116</v>
      </c>
      <c r="E72" t="s">
        <v>142</v>
      </c>
      <c r="F72" s="1">
        <f>1*10^-10</f>
        <v>1E-10</v>
      </c>
      <c r="G72" s="3">
        <f>3.75*10^-10</f>
        <v>3.75E-10</v>
      </c>
      <c r="H72">
        <v>-2.0962563460134098</v>
      </c>
    </row>
    <row r="73" spans="1:18" x14ac:dyDescent="0.25">
      <c r="A73" t="s">
        <v>92</v>
      </c>
      <c r="B73" t="s">
        <v>92</v>
      </c>
      <c r="C73" t="s">
        <v>65</v>
      </c>
      <c r="D73" t="s">
        <v>116</v>
      </c>
      <c r="E73" t="s">
        <v>86</v>
      </c>
      <c r="F73">
        <v>7.6134831299683604E-5</v>
      </c>
      <c r="G73" s="3">
        <v>1.18431959799508E-4</v>
      </c>
      <c r="H73">
        <v>-2.0487498264818602</v>
      </c>
    </row>
    <row r="74" spans="1:18" x14ac:dyDescent="0.25">
      <c r="A74" t="s">
        <v>92</v>
      </c>
      <c r="B74" t="s">
        <v>92</v>
      </c>
      <c r="C74" t="s">
        <v>65</v>
      </c>
      <c r="D74" t="s">
        <v>116</v>
      </c>
      <c r="E74" t="s">
        <v>87</v>
      </c>
      <c r="F74">
        <v>3.6067885964136099E-4</v>
      </c>
      <c r="G74" s="3">
        <v>5.0495040349790501E-4</v>
      </c>
      <c r="H74">
        <v>-1.84309852843958</v>
      </c>
    </row>
    <row r="75" spans="1:18" x14ac:dyDescent="0.25">
      <c r="A75" t="s">
        <v>92</v>
      </c>
      <c r="B75" t="s">
        <v>92</v>
      </c>
      <c r="C75" t="s">
        <v>65</v>
      </c>
      <c r="D75" t="s">
        <v>116</v>
      </c>
      <c r="E75" t="s">
        <v>88</v>
      </c>
      <c r="F75">
        <v>8.6864086581641396E-4</v>
      </c>
      <c r="G75" s="3">
        <v>1.10554292012998E-3</v>
      </c>
      <c r="H75">
        <v>-1.46645545888371</v>
      </c>
    </row>
    <row r="76" spans="1:18" x14ac:dyDescent="0.25">
      <c r="A76" t="s">
        <v>92</v>
      </c>
      <c r="B76" t="s">
        <v>92</v>
      </c>
      <c r="C76" t="s">
        <v>65</v>
      </c>
      <c r="D76" t="s">
        <v>116</v>
      </c>
      <c r="E76" t="s">
        <v>89</v>
      </c>
      <c r="F76">
        <v>1.6377259265858899E-2</v>
      </c>
      <c r="G76" s="3">
        <v>1.76370484401558E-2</v>
      </c>
      <c r="H76">
        <v>-1.4156865886782599</v>
      </c>
    </row>
    <row r="77" spans="1:18" x14ac:dyDescent="0.25">
      <c r="A77" t="s">
        <v>92</v>
      </c>
      <c r="B77" t="s">
        <v>92</v>
      </c>
      <c r="C77" t="s">
        <v>65</v>
      </c>
      <c r="D77" t="s">
        <v>116</v>
      </c>
      <c r="E77" t="s">
        <v>90</v>
      </c>
      <c r="F77">
        <v>1.5894085878041302E-2</v>
      </c>
      <c r="G77" s="3">
        <v>1.76370484401558E-2</v>
      </c>
      <c r="H77">
        <v>-1.31519577372604</v>
      </c>
    </row>
    <row r="78" spans="1:18" x14ac:dyDescent="0.25">
      <c r="A78" t="s">
        <v>92</v>
      </c>
      <c r="B78" t="s">
        <v>92</v>
      </c>
      <c r="C78" t="s">
        <v>65</v>
      </c>
      <c r="D78" t="s">
        <v>116</v>
      </c>
      <c r="E78" t="s">
        <v>91</v>
      </c>
      <c r="F78">
        <v>5.4474708171206199E-2</v>
      </c>
      <c r="G78" s="3">
        <v>5.4474708171206199E-2</v>
      </c>
      <c r="H78">
        <v>-1.21968738909082</v>
      </c>
    </row>
    <row r="79" spans="1:18" x14ac:dyDescent="0.25">
      <c r="A79" t="s">
        <v>94</v>
      </c>
      <c r="B79" t="s">
        <v>118</v>
      </c>
      <c r="C79" t="s">
        <v>6</v>
      </c>
      <c r="D79" t="s">
        <v>115</v>
      </c>
      <c r="E79" t="s">
        <v>93</v>
      </c>
      <c r="F79" s="1">
        <v>7.9812705118485103E-10</v>
      </c>
      <c r="G79" s="4">
        <v>7.9812705118485103E-10</v>
      </c>
      <c r="H79">
        <v>-2.4521973684008</v>
      </c>
    </row>
    <row r="80" spans="1:18" ht="15" customHeight="1" x14ac:dyDescent="0.25">
      <c r="A80" t="s">
        <v>95</v>
      </c>
      <c r="B80" t="s">
        <v>95</v>
      </c>
      <c r="C80" t="s">
        <v>65</v>
      </c>
      <c r="D80" t="s">
        <v>115</v>
      </c>
      <c r="E80" t="s">
        <v>96</v>
      </c>
      <c r="F80">
        <v>7.8756386345308192E-6</v>
      </c>
      <c r="G80" s="3">
        <v>3.9378193172654103E-5</v>
      </c>
      <c r="H80">
        <v>-2.2680583410186501</v>
      </c>
    </row>
    <row r="81" spans="1:18" x14ac:dyDescent="0.25">
      <c r="A81" t="s">
        <v>95</v>
      </c>
      <c r="B81" t="s">
        <v>95</v>
      </c>
      <c r="C81" t="s">
        <v>65</v>
      </c>
      <c r="D81" t="s">
        <v>115</v>
      </c>
      <c r="E81" t="s">
        <v>97</v>
      </c>
      <c r="F81">
        <v>7.7651705081747502E-4</v>
      </c>
      <c r="G81" s="3">
        <v>1.29419508469579E-3</v>
      </c>
      <c r="H81">
        <v>-1.96919001265331</v>
      </c>
    </row>
    <row r="82" spans="1:18" x14ac:dyDescent="0.25">
      <c r="A82" t="s">
        <v>95</v>
      </c>
      <c r="B82" t="s">
        <v>95</v>
      </c>
      <c r="C82" t="s">
        <v>65</v>
      </c>
      <c r="D82" t="s">
        <v>115</v>
      </c>
      <c r="E82" t="s">
        <v>98</v>
      </c>
      <c r="F82">
        <v>6.3026655891708003E-4</v>
      </c>
      <c r="G82" s="3">
        <v>1.29419508469579E-3</v>
      </c>
      <c r="H82">
        <v>-1.9651101429593101</v>
      </c>
    </row>
    <row r="83" spans="1:18" x14ac:dyDescent="0.25">
      <c r="A83" t="s">
        <v>95</v>
      </c>
      <c r="B83" t="s">
        <v>95</v>
      </c>
      <c r="C83" t="s">
        <v>65</v>
      </c>
      <c r="D83" t="s">
        <v>115</v>
      </c>
      <c r="E83" t="s">
        <v>99</v>
      </c>
      <c r="F83">
        <v>6.0784313725490202E-2</v>
      </c>
      <c r="G83" s="3">
        <v>7.5980392156862697E-2</v>
      </c>
      <c r="H83">
        <v>-1.4738743374151999</v>
      </c>
    </row>
    <row r="84" spans="1:18" x14ac:dyDescent="0.25">
      <c r="A84" t="s">
        <v>95</v>
      </c>
      <c r="B84" t="s">
        <v>95</v>
      </c>
      <c r="C84" t="s">
        <v>65</v>
      </c>
      <c r="D84" t="s">
        <v>115</v>
      </c>
      <c r="E84" t="s">
        <v>100</v>
      </c>
      <c r="F84">
        <v>0.105058365758755</v>
      </c>
      <c r="G84" s="3">
        <v>0.105058365758755</v>
      </c>
      <c r="H84">
        <v>-1.3631992550630001</v>
      </c>
    </row>
    <row r="85" spans="1:18" ht="15" customHeight="1" x14ac:dyDescent="0.25">
      <c r="A85" t="s">
        <v>101</v>
      </c>
      <c r="B85" t="s">
        <v>101</v>
      </c>
      <c r="C85" t="s">
        <v>28</v>
      </c>
      <c r="D85" t="s">
        <v>116</v>
      </c>
      <c r="E85" t="s">
        <v>119</v>
      </c>
      <c r="F85">
        <v>1E-10</v>
      </c>
      <c r="G85" s="3">
        <v>7.6666666666666702E-10</v>
      </c>
      <c r="H85">
        <v>-2.9087053587869698</v>
      </c>
    </row>
    <row r="86" spans="1:18" x14ac:dyDescent="0.25">
      <c r="A86" t="s">
        <v>101</v>
      </c>
      <c r="B86" t="s">
        <v>101</v>
      </c>
      <c r="C86" t="s">
        <v>28</v>
      </c>
      <c r="D86" t="s">
        <v>116</v>
      </c>
      <c r="E86" t="s">
        <v>120</v>
      </c>
      <c r="F86">
        <v>1E-10</v>
      </c>
      <c r="G86" s="3">
        <v>7.6666666666666702E-10</v>
      </c>
      <c r="H86">
        <v>2.74802249379966</v>
      </c>
    </row>
    <row r="87" spans="1:18" x14ac:dyDescent="0.25">
      <c r="A87" t="s">
        <v>101</v>
      </c>
      <c r="B87" t="s">
        <v>101</v>
      </c>
      <c r="C87" t="s">
        <v>28</v>
      </c>
      <c r="D87" t="s">
        <v>116</v>
      </c>
      <c r="E87" t="s">
        <v>121</v>
      </c>
      <c r="F87">
        <v>1E-10</v>
      </c>
      <c r="G87" s="3">
        <v>7.6666666666666702E-10</v>
      </c>
      <c r="H87">
        <v>-2.46736080261417</v>
      </c>
    </row>
    <row r="88" spans="1:18" x14ac:dyDescent="0.25">
      <c r="A88" t="s">
        <v>101</v>
      </c>
      <c r="B88" t="s">
        <v>101</v>
      </c>
      <c r="C88" t="s">
        <v>28</v>
      </c>
      <c r="D88" t="s">
        <v>116</v>
      </c>
      <c r="E88" t="s">
        <v>122</v>
      </c>
      <c r="F88">
        <v>1.9523941099240301E-10</v>
      </c>
      <c r="G88" s="3">
        <v>1.12262661320632E-9</v>
      </c>
      <c r="H88">
        <v>-2.4065164472068701</v>
      </c>
    </row>
    <row r="89" spans="1:18" x14ac:dyDescent="0.25">
      <c r="A89" t="s">
        <v>101</v>
      </c>
      <c r="B89" t="s">
        <v>101</v>
      </c>
      <c r="C89" t="s">
        <v>28</v>
      </c>
      <c r="D89" t="s">
        <v>116</v>
      </c>
      <c r="E89" t="s">
        <v>123</v>
      </c>
      <c r="F89">
        <v>3.1682247422547901E-10</v>
      </c>
      <c r="G89" s="3">
        <v>1.4573833814372E-9</v>
      </c>
      <c r="H89">
        <v>-2.3496014045365201</v>
      </c>
    </row>
    <row r="90" spans="1:18" x14ac:dyDescent="0.25">
      <c r="A90" t="s">
        <v>101</v>
      </c>
      <c r="B90" t="s">
        <v>101</v>
      </c>
      <c r="C90" t="s">
        <v>28</v>
      </c>
      <c r="D90" t="s">
        <v>116</v>
      </c>
      <c r="E90" t="s">
        <v>124</v>
      </c>
      <c r="F90">
        <v>1.2819461032756101E-9</v>
      </c>
      <c r="G90" s="3">
        <v>4.9141267292231703E-9</v>
      </c>
      <c r="H90">
        <v>-2.31379021304038</v>
      </c>
    </row>
    <row r="91" spans="1:18" x14ac:dyDescent="0.25">
      <c r="A91" t="s">
        <v>101</v>
      </c>
      <c r="B91" t="s">
        <v>101</v>
      </c>
      <c r="C91" t="s">
        <v>28</v>
      </c>
      <c r="D91" t="s">
        <v>116</v>
      </c>
      <c r="E91" t="s">
        <v>125</v>
      </c>
      <c r="F91">
        <v>1.8669059123578599E-8</v>
      </c>
      <c r="G91" s="3">
        <v>6.1341194263186804E-8</v>
      </c>
      <c r="H91">
        <v>-2.1246601620428298</v>
      </c>
      <c r="Q91" s="1"/>
      <c r="R91" s="1"/>
    </row>
    <row r="92" spans="1:18" x14ac:dyDescent="0.25">
      <c r="A92" t="s">
        <v>101</v>
      </c>
      <c r="B92" t="s">
        <v>101</v>
      </c>
      <c r="C92" t="s">
        <v>28</v>
      </c>
      <c r="D92" t="s">
        <v>116</v>
      </c>
      <c r="E92" t="s">
        <v>126</v>
      </c>
      <c r="F92">
        <v>4.76682008003612E-7</v>
      </c>
      <c r="G92" s="3">
        <v>1.3704607730103799E-6</v>
      </c>
      <c r="H92">
        <v>2.37758135487466</v>
      </c>
      <c r="Q92" s="1"/>
      <c r="R92" s="1"/>
    </row>
    <row r="93" spans="1:18" x14ac:dyDescent="0.25">
      <c r="A93" t="s">
        <v>101</v>
      </c>
      <c r="B93" t="s">
        <v>101</v>
      </c>
      <c r="C93" t="s">
        <v>28</v>
      </c>
      <c r="D93" t="s">
        <v>116</v>
      </c>
      <c r="E93" t="s">
        <v>127</v>
      </c>
      <c r="F93">
        <v>4.4097019990311798E-6</v>
      </c>
      <c r="G93" s="3">
        <v>1.08613131635595E-5</v>
      </c>
      <c r="H93">
        <v>-1.8907772647291501</v>
      </c>
      <c r="Q93" s="1"/>
    </row>
    <row r="94" spans="1:18" x14ac:dyDescent="0.25">
      <c r="A94" t="s">
        <v>101</v>
      </c>
      <c r="B94" t="s">
        <v>101</v>
      </c>
      <c r="C94" t="s">
        <v>28</v>
      </c>
      <c r="D94" t="s">
        <v>116</v>
      </c>
      <c r="E94" t="s">
        <v>128</v>
      </c>
      <c r="F94">
        <v>4.7223100711128098E-6</v>
      </c>
      <c r="G94" s="3">
        <v>1.08613131635595E-5</v>
      </c>
      <c r="H94">
        <v>-1.8262019235878799</v>
      </c>
    </row>
    <row r="95" spans="1:18" x14ac:dyDescent="0.25">
      <c r="A95" t="s">
        <v>101</v>
      </c>
      <c r="B95" t="s">
        <v>101</v>
      </c>
      <c r="C95" t="s">
        <v>28</v>
      </c>
      <c r="D95" t="s">
        <v>116</v>
      </c>
      <c r="E95" t="s">
        <v>129</v>
      </c>
      <c r="F95">
        <v>2.0439384861662002E-5</v>
      </c>
      <c r="G95" s="3">
        <v>4.2736895619838701E-5</v>
      </c>
      <c r="H95">
        <v>-1.8453829716951899</v>
      </c>
    </row>
    <row r="96" spans="1:18" x14ac:dyDescent="0.25">
      <c r="A96" t="s">
        <v>101</v>
      </c>
      <c r="B96" t="s">
        <v>101</v>
      </c>
      <c r="C96" t="s">
        <v>28</v>
      </c>
      <c r="D96" t="s">
        <v>116</v>
      </c>
      <c r="E96" t="s">
        <v>130</v>
      </c>
      <c r="F96">
        <v>3.4941306072109697E-5</v>
      </c>
      <c r="G96" s="3">
        <v>6.6970836638210294E-5</v>
      </c>
      <c r="H96">
        <v>-2.10921710756603</v>
      </c>
    </row>
    <row r="97" spans="1:8" x14ac:dyDescent="0.25">
      <c r="A97" t="s">
        <v>101</v>
      </c>
      <c r="B97" t="s">
        <v>101</v>
      </c>
      <c r="C97" t="s">
        <v>28</v>
      </c>
      <c r="D97" t="s">
        <v>116</v>
      </c>
      <c r="E97" t="s">
        <v>131</v>
      </c>
      <c r="F97">
        <v>3.1431726263930998E-4</v>
      </c>
      <c r="G97" s="3">
        <v>5.5609977236185601E-4</v>
      </c>
      <c r="H97">
        <v>-1.7283956858568501</v>
      </c>
    </row>
    <row r="98" spans="1:8" x14ac:dyDescent="0.25">
      <c r="A98" t="s">
        <v>101</v>
      </c>
      <c r="B98" t="s">
        <v>101</v>
      </c>
      <c r="C98" t="s">
        <v>28</v>
      </c>
      <c r="D98" t="s">
        <v>116</v>
      </c>
      <c r="E98" t="s">
        <v>132</v>
      </c>
      <c r="F98">
        <v>1.77518256713018E-3</v>
      </c>
      <c r="G98" s="3">
        <v>2.9163713602852999E-3</v>
      </c>
      <c r="H98">
        <v>-1.80993108132332</v>
      </c>
    </row>
    <row r="99" spans="1:8" x14ac:dyDescent="0.25">
      <c r="A99" t="s">
        <v>101</v>
      </c>
      <c r="B99" t="s">
        <v>101</v>
      </c>
      <c r="C99" t="s">
        <v>28</v>
      </c>
      <c r="D99" t="s">
        <v>116</v>
      </c>
      <c r="E99" t="s">
        <v>133</v>
      </c>
      <c r="F99">
        <v>7.9096337403673205E-3</v>
      </c>
      <c r="G99" s="3">
        <v>1.1370098501778E-2</v>
      </c>
      <c r="H99">
        <v>-1.7470599023782201</v>
      </c>
    </row>
    <row r="100" spans="1:8" x14ac:dyDescent="0.25">
      <c r="A100" t="s">
        <v>101</v>
      </c>
      <c r="B100" t="s">
        <v>101</v>
      </c>
      <c r="C100" t="s">
        <v>28</v>
      </c>
      <c r="D100" t="s">
        <v>116</v>
      </c>
      <c r="E100" t="s">
        <v>134</v>
      </c>
      <c r="F100">
        <v>7.8038013811309202E-3</v>
      </c>
      <c r="G100" s="3">
        <v>1.1370098501778E-2</v>
      </c>
      <c r="H100">
        <v>-1.5490605929491199</v>
      </c>
    </row>
    <row r="101" spans="1:8" x14ac:dyDescent="0.25">
      <c r="A101" t="s">
        <v>101</v>
      </c>
      <c r="B101" t="s">
        <v>101</v>
      </c>
      <c r="C101" t="s">
        <v>28</v>
      </c>
      <c r="D101" t="s">
        <v>116</v>
      </c>
      <c r="E101" t="s">
        <v>135</v>
      </c>
      <c r="F101">
        <v>1.6120633003917601E-2</v>
      </c>
      <c r="G101" s="3">
        <v>2.1810268181770901E-2</v>
      </c>
      <c r="H101">
        <v>1.47558115234223</v>
      </c>
    </row>
    <row r="102" spans="1:8" x14ac:dyDescent="0.25">
      <c r="A102" t="s">
        <v>101</v>
      </c>
      <c r="B102" t="s">
        <v>101</v>
      </c>
      <c r="C102" t="s">
        <v>28</v>
      </c>
      <c r="D102" t="s">
        <v>116</v>
      </c>
      <c r="E102" t="s">
        <v>136</v>
      </c>
      <c r="F102">
        <v>1.81376459233453E-2</v>
      </c>
      <c r="G102" s="3">
        <v>2.31758809020523E-2</v>
      </c>
      <c r="H102">
        <v>-1.5821151627644401</v>
      </c>
    </row>
    <row r="103" spans="1:8" x14ac:dyDescent="0.25">
      <c r="A103" t="s">
        <v>101</v>
      </c>
      <c r="B103" t="s">
        <v>101</v>
      </c>
      <c r="C103" t="s">
        <v>28</v>
      </c>
      <c r="D103" t="s">
        <v>116</v>
      </c>
      <c r="E103" t="s">
        <v>137</v>
      </c>
      <c r="F103">
        <v>4.36507936507936E-2</v>
      </c>
      <c r="G103" s="3">
        <v>5.2840434419381799E-2</v>
      </c>
      <c r="H103">
        <v>-1.30712362633765</v>
      </c>
    </row>
    <row r="104" spans="1:8" x14ac:dyDescent="0.25">
      <c r="A104" t="s">
        <v>101</v>
      </c>
      <c r="B104" t="s">
        <v>101</v>
      </c>
      <c r="C104" t="s">
        <v>28</v>
      </c>
      <c r="D104" t="s">
        <v>116</v>
      </c>
      <c r="E104" t="s">
        <v>138</v>
      </c>
      <c r="F104">
        <v>5.0674038990073202E-2</v>
      </c>
      <c r="G104" s="3">
        <v>5.8275144838584099E-2</v>
      </c>
      <c r="H104">
        <v>1.48288328078562</v>
      </c>
    </row>
    <row r="105" spans="1:8" x14ac:dyDescent="0.25">
      <c r="A105" t="s">
        <v>101</v>
      </c>
      <c r="B105" t="s">
        <v>101</v>
      </c>
      <c r="C105" t="s">
        <v>28</v>
      </c>
      <c r="D105" t="s">
        <v>116</v>
      </c>
      <c r="E105" t="s">
        <v>139</v>
      </c>
      <c r="F105">
        <v>0.13483146067415699</v>
      </c>
      <c r="G105" s="3">
        <v>0.14767255216693401</v>
      </c>
      <c r="H105">
        <v>1.30480803952934</v>
      </c>
    </row>
    <row r="106" spans="1:8" x14ac:dyDescent="0.25">
      <c r="A106" t="s">
        <v>101</v>
      </c>
      <c r="B106" t="s">
        <v>101</v>
      </c>
      <c r="C106" t="s">
        <v>28</v>
      </c>
      <c r="D106" t="s">
        <v>116</v>
      </c>
      <c r="E106" t="s">
        <v>140</v>
      </c>
      <c r="F106">
        <v>0.19298245614035101</v>
      </c>
      <c r="G106" s="3">
        <v>0.20175438596491199</v>
      </c>
      <c r="H106">
        <v>1.1322724188426301</v>
      </c>
    </row>
    <row r="107" spans="1:8" x14ac:dyDescent="0.25">
      <c r="A107" t="s">
        <v>101</v>
      </c>
      <c r="B107" t="s">
        <v>101</v>
      </c>
      <c r="C107" t="s">
        <v>28</v>
      </c>
      <c r="D107" t="s">
        <v>116</v>
      </c>
      <c r="E107" t="s">
        <v>141</v>
      </c>
      <c r="F107">
        <v>0.46112600536192999</v>
      </c>
      <c r="G107" s="3">
        <v>0.46112600536192999</v>
      </c>
      <c r="H107">
        <v>-0.99555231735291705</v>
      </c>
    </row>
    <row r="108" spans="1:8" ht="15" customHeight="1" x14ac:dyDescent="0.25">
      <c r="A108" t="s">
        <v>113</v>
      </c>
      <c r="B108" t="s">
        <v>113</v>
      </c>
      <c r="C108" t="s">
        <v>28</v>
      </c>
      <c r="D108" t="s">
        <v>115</v>
      </c>
      <c r="E108" t="s">
        <v>102</v>
      </c>
      <c r="F108">
        <v>6.15600068510928E-9</v>
      </c>
      <c r="G108" s="3">
        <v>6.7716007536202105E-8</v>
      </c>
      <c r="H108">
        <v>-2.3443131346335102</v>
      </c>
    </row>
    <row r="109" spans="1:8" x14ac:dyDescent="0.25">
      <c r="A109" t="s">
        <v>113</v>
      </c>
      <c r="B109" t="s">
        <v>113</v>
      </c>
      <c r="C109" t="s">
        <v>28</v>
      </c>
      <c r="D109" t="s">
        <v>115</v>
      </c>
      <c r="E109" t="s">
        <v>103</v>
      </c>
      <c r="F109">
        <v>1.6055002005736499E-8</v>
      </c>
      <c r="G109" s="3">
        <v>8.8302511031550594E-8</v>
      </c>
      <c r="H109">
        <v>-2.4259286299912</v>
      </c>
    </row>
    <row r="110" spans="1:8" x14ac:dyDescent="0.25">
      <c r="A110" t="s">
        <v>113</v>
      </c>
      <c r="B110" t="s">
        <v>113</v>
      </c>
      <c r="C110" t="s">
        <v>28</v>
      </c>
      <c r="D110" t="s">
        <v>115</v>
      </c>
      <c r="E110" t="s">
        <v>104</v>
      </c>
      <c r="F110">
        <v>3.8307738408726902E-5</v>
      </c>
      <c r="G110" s="3">
        <v>1.40461707498665E-4</v>
      </c>
      <c r="H110">
        <v>-2.06457629534665</v>
      </c>
    </row>
    <row r="111" spans="1:8" x14ac:dyDescent="0.25">
      <c r="A111" t="s">
        <v>113</v>
      </c>
      <c r="B111" t="s">
        <v>113</v>
      </c>
      <c r="C111" t="s">
        <v>28</v>
      </c>
      <c r="D111" t="s">
        <v>115</v>
      </c>
      <c r="E111" t="s">
        <v>105</v>
      </c>
      <c r="F111">
        <v>1.5000807180541799E-3</v>
      </c>
      <c r="G111" s="3">
        <v>4.1252219746489996E-3</v>
      </c>
      <c r="H111">
        <v>-1.8321466240462501</v>
      </c>
    </row>
    <row r="112" spans="1:8" x14ac:dyDescent="0.25">
      <c r="A112" t="s">
        <v>113</v>
      </c>
      <c r="B112" t="s">
        <v>113</v>
      </c>
      <c r="C112" t="s">
        <v>28</v>
      </c>
      <c r="D112" t="s">
        <v>115</v>
      </c>
      <c r="E112" t="s">
        <v>106</v>
      </c>
      <c r="F112">
        <v>6.1117029233788301E-3</v>
      </c>
      <c r="G112" s="3">
        <v>1.3445746431433399E-2</v>
      </c>
      <c r="H112">
        <v>-1.76411866245899</v>
      </c>
    </row>
    <row r="113" spans="1:8" x14ac:dyDescent="0.25">
      <c r="A113" t="s">
        <v>113</v>
      </c>
      <c r="B113" t="s">
        <v>113</v>
      </c>
      <c r="C113" t="s">
        <v>28</v>
      </c>
      <c r="D113" t="s">
        <v>115</v>
      </c>
      <c r="E113" t="s">
        <v>107</v>
      </c>
      <c r="F113">
        <v>0.13838550247117001</v>
      </c>
      <c r="G113" s="3">
        <v>0.17546754675467499</v>
      </c>
      <c r="H113">
        <v>-1.3446638967161999</v>
      </c>
    </row>
    <row r="114" spans="1:8" x14ac:dyDescent="0.25">
      <c r="A114" t="s">
        <v>113</v>
      </c>
      <c r="B114" t="s">
        <v>113</v>
      </c>
      <c r="C114" t="s">
        <v>28</v>
      </c>
      <c r="D114" t="s">
        <v>115</v>
      </c>
      <c r="E114" t="s">
        <v>108</v>
      </c>
      <c r="F114">
        <v>0.143564356435644</v>
      </c>
      <c r="G114" s="3">
        <v>0.17546754675467499</v>
      </c>
      <c r="H114">
        <v>-1.34074400922114</v>
      </c>
    </row>
    <row r="115" spans="1:8" x14ac:dyDescent="0.25">
      <c r="A115" t="s">
        <v>113</v>
      </c>
      <c r="B115" t="s">
        <v>113</v>
      </c>
      <c r="C115" t="s">
        <v>28</v>
      </c>
      <c r="D115" t="s">
        <v>115</v>
      </c>
      <c r="E115" t="s">
        <v>109</v>
      </c>
      <c r="F115">
        <v>0.125407166123779</v>
      </c>
      <c r="G115" s="3">
        <v>0.17546754675467499</v>
      </c>
      <c r="H115">
        <v>-1.2986133462823699</v>
      </c>
    </row>
    <row r="116" spans="1:8" x14ac:dyDescent="0.25">
      <c r="A116" t="s">
        <v>113</v>
      </c>
      <c r="B116" t="s">
        <v>113</v>
      </c>
      <c r="C116" t="s">
        <v>28</v>
      </c>
      <c r="D116" t="s">
        <v>115</v>
      </c>
      <c r="E116" t="s">
        <v>110</v>
      </c>
      <c r="F116">
        <v>0.111801242236025</v>
      </c>
      <c r="G116" s="3">
        <v>0.17546754675467499</v>
      </c>
      <c r="H116">
        <v>-1.2746636011219199</v>
      </c>
    </row>
    <row r="117" spans="1:8" x14ac:dyDescent="0.25">
      <c r="A117" t="s">
        <v>113</v>
      </c>
      <c r="B117" t="s">
        <v>113</v>
      </c>
      <c r="C117" t="s">
        <v>28</v>
      </c>
      <c r="D117" t="s">
        <v>115</v>
      </c>
      <c r="E117" t="s">
        <v>111</v>
      </c>
      <c r="F117">
        <v>0.22697368421052599</v>
      </c>
      <c r="G117" s="3">
        <v>0.22697368421052599</v>
      </c>
      <c r="H117">
        <v>-1.2216175561459901</v>
      </c>
    </row>
    <row r="118" spans="1:8" x14ac:dyDescent="0.25">
      <c r="A118" t="s">
        <v>113</v>
      </c>
      <c r="B118" t="s">
        <v>113</v>
      </c>
      <c r="C118" t="s">
        <v>28</v>
      </c>
      <c r="D118" t="s">
        <v>115</v>
      </c>
      <c r="E118" t="s">
        <v>112</v>
      </c>
      <c r="F118">
        <v>0.223241590214067</v>
      </c>
      <c r="G118" s="3">
        <v>0.22697368421052599</v>
      </c>
      <c r="H118">
        <v>1.1308317085697399</v>
      </c>
    </row>
  </sheetData>
  <conditionalFormatting sqref="G2:G118">
    <cfRule type="cellIs" dxfId="0" priority="3" operator="lessThan">
      <formula>0.05</formula>
    </cfRule>
  </conditionalFormatting>
  <conditionalFormatting sqref="H1:H14 H19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Anneloes van Krimpen</dc:creator>
  <cp:lastModifiedBy>Anneloes van Krimpen</cp:lastModifiedBy>
  <dcterms:created xsi:type="dcterms:W3CDTF">2024-06-24T08:59:03Z</dcterms:created>
  <dcterms:modified xsi:type="dcterms:W3CDTF">2026-01-23T13:17:30Z</dcterms:modified>
</cp:coreProperties>
</file>